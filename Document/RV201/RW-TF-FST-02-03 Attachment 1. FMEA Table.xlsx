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https://raywatt-my.sharepoint.com/personal/dylan_raywatt_com/Documents/RaywattRA/12 해외 인허가/FDA/20250212 Software Description/Final/"/>
    </mc:Choice>
  </mc:AlternateContent>
  <xr:revisionPtr revIDLastSave="16" documentId="13_ncr:1_{CEDE790E-D8EE-4518-ACB3-A2CAB9680D60}" xr6:coauthVersionLast="47" xr6:coauthVersionMax="47" xr10:uidLastSave="{68F9BC28-673E-4AAC-900C-08C5F2A93E4A}"/>
  <bookViews>
    <workbookView xWindow="28680" yWindow="-120" windowWidth="51840" windowHeight="21120" xr2:uid="{A83613D6-E9FF-42D3-810D-F1693FAE2D5B}"/>
  </bookViews>
  <sheets>
    <sheet name="FMEA Table" sheetId="1" r:id="rId1"/>
  </sheets>
  <definedNames>
    <definedName name="_GoBack" localSheetId="0">'FMEA Table'!#REF!</definedName>
    <definedName name="_xlnm.Print_Area" localSheetId="0">'FMEA Table'!$A$1:$T$21</definedName>
    <definedName name="_xlnm.Print_Titles" localSheetId="0">'FMEA Table'!$1:$3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O4" i="1"/>
  <c r="H5" i="1"/>
  <c r="O5" i="1"/>
  <c r="H6" i="1"/>
  <c r="O6" i="1"/>
  <c r="H7" i="1"/>
  <c r="O7" i="1"/>
  <c r="H8" i="1"/>
  <c r="O8" i="1"/>
  <c r="H9" i="1"/>
  <c r="O9" i="1"/>
  <c r="H10" i="1"/>
  <c r="O10" i="1"/>
  <c r="H11" i="1"/>
  <c r="O11" i="1"/>
  <c r="H12" i="1"/>
  <c r="O12" i="1"/>
  <c r="H13" i="1"/>
  <c r="O13" i="1"/>
  <c r="H14" i="1"/>
  <c r="O14" i="1"/>
  <c r="H15" i="1"/>
  <c r="O15" i="1"/>
  <c r="H16" i="1"/>
  <c r="O16" i="1"/>
  <c r="H17" i="1"/>
  <c r="O17" i="1"/>
  <c r="H18" i="1"/>
  <c r="O18" i="1"/>
  <c r="H19" i="1"/>
  <c r="O19" i="1"/>
  <c r="H20" i="1"/>
  <c r="O20" i="1"/>
  <c r="H21" i="1"/>
  <c r="O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J.Seo</author>
  </authors>
  <commentList>
    <comment ref="I1" authorId="0" shapeId="0" xr:uid="{227B22C2-617F-42A5-889A-78921C027105}">
      <text>
        <r>
          <rPr>
            <b/>
            <sz val="10"/>
            <color rgb="FF000000"/>
            <rFont val="Malgun Gothic"/>
            <family val="2"/>
            <charset val="129"/>
          </rPr>
          <t>J.Seo: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 xml:space="preserve">* </t>
        </r>
        <r>
          <rPr>
            <sz val="10"/>
            <color rgb="FF000000"/>
            <rFont val="Malgun Gothic"/>
            <family val="2"/>
            <charset val="129"/>
          </rPr>
          <t>Risk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점수에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따라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ACC (Acceptable), AFAP (As Far As Possible), N/ACC (Non-Acceptabl)</t>
        </r>
        <r>
          <rPr>
            <sz val="10"/>
            <color rgb="FF000000"/>
            <rFont val="Malgun Gothic"/>
            <family val="2"/>
            <charset val="129"/>
          </rPr>
          <t>로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표기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>본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문서에서는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임의로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 xml:space="preserve">* </t>
        </r>
        <r>
          <rPr>
            <sz val="10"/>
            <color rgb="FF000000"/>
            <rFont val="Malgun Gothic"/>
            <family val="2"/>
            <charset val="129"/>
          </rPr>
          <t xml:space="preserve">ACC : 1~4
</t>
        </r>
        <r>
          <rPr>
            <sz val="10"/>
            <color rgb="FF000000"/>
            <rFont val="Malgun Gothic"/>
            <family val="2"/>
            <charset val="129"/>
          </rPr>
          <t xml:space="preserve">* AFAP : 5~9
</t>
        </r>
        <r>
          <rPr>
            <sz val="10"/>
            <color rgb="FF000000"/>
            <rFont val="Malgun Gothic"/>
            <family val="2"/>
            <charset val="129"/>
          </rPr>
          <t xml:space="preserve">* N/ACC : 10~25
</t>
        </r>
        <r>
          <rPr>
            <sz val="10"/>
            <color rgb="FF000000"/>
            <rFont val="Malgun Gothic"/>
            <family val="2"/>
            <charset val="129"/>
          </rPr>
          <t>기준을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설정</t>
        </r>
      </text>
    </comment>
    <comment ref="F3" authorId="0" shapeId="0" xr:uid="{33E59C58-8745-48C7-A1B8-1B4D5FC3BFFB}">
      <text>
        <r>
          <rPr>
            <b/>
            <sz val="10"/>
            <color rgb="FF000000"/>
            <rFont val="Malgun Gothic"/>
            <family val="2"/>
            <charset val="129"/>
          </rPr>
          <t>J.Seo: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>발생가능성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>SW</t>
        </r>
        <r>
          <rPr>
            <sz val="10"/>
            <color rgb="FF000000"/>
            <rFont val="Malgun Gothic"/>
            <family val="2"/>
            <charset val="129"/>
          </rPr>
          <t>의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경우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발생가능성을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1</t>
        </r>
        <r>
          <rPr>
            <sz val="10"/>
            <color rgb="FF000000"/>
            <rFont val="Malgun Gothic"/>
            <family val="2"/>
            <charset val="129"/>
          </rPr>
          <t>로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산정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G3" authorId="0" shapeId="0" xr:uid="{D3723E66-9810-4FD4-A490-C9C4C0E8D991}">
      <text>
        <r>
          <rPr>
            <b/>
            <sz val="10"/>
            <color rgb="FF000000"/>
            <rFont val="Malgun Gothic"/>
            <family val="2"/>
            <charset val="129"/>
          </rPr>
          <t>J.Seo: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>심각도</t>
        </r>
      </text>
    </comment>
    <comment ref="H3" authorId="0" shapeId="0" xr:uid="{6CE62D74-4ED9-4DB1-8670-FC0204555B28}">
      <text>
        <r>
          <rPr>
            <b/>
            <sz val="10"/>
            <color rgb="FF000000"/>
            <rFont val="Malgun Gothic"/>
            <family val="2"/>
            <charset val="129"/>
          </rPr>
          <t>J.Seo: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>S * P</t>
        </r>
      </text>
    </comment>
  </commentList>
</comments>
</file>

<file path=xl/sharedStrings.xml><?xml version="1.0" encoding="utf-8"?>
<sst xmlns="http://schemas.openxmlformats.org/spreadsheetml/2006/main" count="257" uniqueCount="133">
  <si>
    <t>ID</t>
    <phoneticPr fontId="4" type="noConversion"/>
  </si>
  <si>
    <t>Hazard</t>
    <phoneticPr fontId="4" type="noConversion"/>
  </si>
  <si>
    <t>Cause
(Sequence of events)</t>
    <phoneticPr fontId="4" type="noConversion"/>
  </si>
  <si>
    <t>Failure Mode
(Hazadous situation)</t>
    <phoneticPr fontId="4" type="noConversion"/>
  </si>
  <si>
    <t>Effect of Failure 
(Harm)</t>
    <phoneticPr fontId="4" type="noConversion"/>
  </si>
  <si>
    <t>Risk Assessment</t>
    <phoneticPr fontId="4" type="noConversion"/>
  </si>
  <si>
    <t>Acceptable or Not</t>
    <phoneticPr fontId="4" type="noConversion"/>
  </si>
  <si>
    <t>Control Measure Action</t>
    <phoneticPr fontId="4" type="noConversion"/>
  </si>
  <si>
    <t>Verification of Risk Control Measure</t>
    <phoneticPr fontId="4" type="noConversion"/>
  </si>
  <si>
    <t>Effectiveness of Risk Control Measure</t>
    <phoneticPr fontId="4" type="noConversion"/>
  </si>
  <si>
    <t>Residual Risk Evaluation</t>
    <phoneticPr fontId="4" type="noConversion"/>
  </si>
  <si>
    <t>Benefit-Risk Analysis</t>
    <phoneticPr fontId="4" type="noConversion"/>
  </si>
  <si>
    <t>Risk Arising from Risk Control Measure</t>
    <phoneticPr fontId="4" type="noConversion"/>
  </si>
  <si>
    <t>Completeness of Risk Control</t>
    <phoneticPr fontId="4" type="noConversion"/>
  </si>
  <si>
    <t>Overall residual risk evaluation</t>
    <phoneticPr fontId="4" type="noConversion"/>
  </si>
  <si>
    <t>P</t>
  </si>
  <si>
    <t>S</t>
  </si>
  <si>
    <t>Risk</t>
    <phoneticPr fontId="4" type="noConversion"/>
  </si>
  <si>
    <t>P</t>
    <phoneticPr fontId="4" type="noConversion"/>
  </si>
  <si>
    <t>S</t>
    <phoneticPr fontId="4" type="noConversion"/>
  </si>
  <si>
    <t>SRM-001</t>
    <phoneticPr fontId="4" type="noConversion"/>
  </si>
  <si>
    <t>Page and Dialog Display Risk</t>
  </si>
  <si>
    <t>Page and Dialog Loading Failure or Delay</t>
  </si>
  <si>
    <t>Screen is not displayed correctly</t>
  </si>
  <si>
    <t>User is unable to perform functions, causing work delays</t>
  </si>
  <si>
    <t>AFAP</t>
  </si>
  <si>
    <t>Page and Dialog loading optimization</t>
  </si>
  <si>
    <t>Yes</t>
    <phoneticPr fontId="4" type="noConversion"/>
  </si>
  <si>
    <t>ACC</t>
    <phoneticPr fontId="4" type="noConversion"/>
  </si>
  <si>
    <t>No</t>
    <phoneticPr fontId="4" type="noConversion"/>
  </si>
  <si>
    <t>ACC</t>
    <phoneticPr fontId="5" type="noConversion"/>
  </si>
  <si>
    <t>SRM-002</t>
  </si>
  <si>
    <t>Database Risk</t>
  </si>
  <si>
    <t>Error Occurs During Database Data Input/Modification/Deletion</t>
  </si>
  <si>
    <t>Data is not saved or incorrect values are stored</t>
  </si>
  <si>
    <t>Patient data error or loss occurs, leading to analysis distortion and incorrect diagnosis</t>
  </si>
  <si>
    <t>Enhanced input data validation</t>
  </si>
  <si>
    <t>SRM-003</t>
  </si>
  <si>
    <t>BLDC Motor Control Risk</t>
  </si>
  <si>
    <t>BLDC Motor Rotation Control Failure</t>
  </si>
  <si>
    <t>Motor does not function properly, causing catheter connection failure</t>
  </si>
  <si>
    <t>Catheter insertion is not possible, preventing OCT imaging and requiring catheter reconnection</t>
  </si>
  <si>
    <t>N/ACC</t>
  </si>
  <si>
    <t>Motor status monitoring and anomaly detection, implementation of dual control system</t>
  </si>
  <si>
    <t>SRM-004</t>
  </si>
  <si>
    <t>Pullback Motor Control Risk</t>
  </si>
  <si>
    <t>Pullback Motor Control Error</t>
  </si>
  <si>
    <t>Motor does not function properly, causing catheter connection failure</t>
    <phoneticPr fontId="2" type="noConversion"/>
  </si>
  <si>
    <t>Motor status monitoring and anomaly detection, implementation of dual control system</t>
    <phoneticPr fontId="2" type="noConversion"/>
  </si>
  <si>
    <t>SRM-005</t>
  </si>
  <si>
    <t>Laser Power Control Risk</t>
  </si>
  <si>
    <t>Laser Execution Failure</t>
  </si>
  <si>
    <t>Laser is not activated</t>
  </si>
  <si>
    <t>OCT image acquisition is not possible, causing OCT imaging delay</t>
  </si>
  <si>
    <t>Laser status monitoring to handle Laser re-execution</t>
  </si>
  <si>
    <t>SRM-006</t>
  </si>
  <si>
    <t>OCT Image Processing Risk</t>
  </si>
  <si>
    <t>Error Occurs While Converting OCT Signal to Image Format</t>
  </si>
  <si>
    <t>OCT Image is not generated correctly or some data is lost</t>
  </si>
  <si>
    <t>Image-based analysis function cannot be performed, requiring additional re-measurement or causing diagnosis delay</t>
    <phoneticPr fontId="2" type="noConversion"/>
  </si>
  <si>
    <t>Optimization of conversion algorithms and enhanced error handling</t>
  </si>
  <si>
    <t>SRM-007</t>
  </si>
  <si>
    <t>Data Loading Function Risk</t>
  </si>
  <si>
    <t>Inefficient Data Loading Algorithm Causes Speed Reduction</t>
  </si>
  <si>
    <t>Delay in loading captured images and analysis data</t>
  </si>
  <si>
    <t>System usage is delayed until data loading is complete</t>
  </si>
  <si>
    <t>Algorithm improvement for parallel processing of data and sequential frame processing</t>
  </si>
  <si>
    <t>SRM-008</t>
  </si>
  <si>
    <t>Image Data Storage Function Risk</t>
  </si>
  <si>
    <t>Inefficient Image Data Storage Algorithm Causes Speed Reduction</t>
  </si>
  <si>
    <t>Delay in saving captured image data</t>
  </si>
  <si>
    <t>System usage is delayed until data storage is complete</t>
  </si>
  <si>
    <t>Algorithm improvement to ensure sequential generation of video data while storing it</t>
  </si>
  <si>
    <t>SRM-009</t>
  </si>
  <si>
    <t>OCT Image Brightness Adjustment Risk</t>
  </si>
  <si>
    <t>Brightness Adjustment Function Failure</t>
  </si>
  <si>
    <t>Image is too bright or too dark</t>
  </si>
  <si>
    <t>Difficulty in reading images, reducing diagnostic accuracy</t>
  </si>
  <si>
    <t>Enhanced brightness control algorithm</t>
  </si>
  <si>
    <t>SRM-010</t>
  </si>
  <si>
    <t>OCT Image Contrast Adjustment Risk</t>
  </si>
  <si>
    <t>Contrast Adjustment Function Failure</t>
  </si>
  <si>
    <t>Image contrast is too high or too low</t>
  </si>
  <si>
    <t>Difficulty in reading images, reducing diagnostic accuracy</t>
    <phoneticPr fontId="2" type="noConversion"/>
  </si>
  <si>
    <t>Enhanced contrast control algorithm</t>
  </si>
  <si>
    <t>SRM-011</t>
  </si>
  <si>
    <t>OCT Image Lesion and Structural Information Extraction Risk</t>
    <phoneticPr fontId="2" type="noConversion"/>
  </si>
  <si>
    <t>Failure to Extract Information Such as Lumen Contour, Side Branch, Stent, Guidewire, and Calcium from OCT Image</t>
  </si>
  <si>
    <t>Failure to properly detect specific vascular structures and lesions</t>
  </si>
  <si>
    <t>Error in vascular and lesion analysis may lead to inaccurate surgical planning</t>
  </si>
  <si>
    <t>Optimization of extraction algorithms and addition of data correction functionality</t>
  </si>
  <si>
    <t>SRM-012</t>
  </si>
  <si>
    <t>3D Image Rendering Risk</t>
  </si>
  <si>
    <t>Process Error Occurs During 3D Cut-View / Fly-Through Image Rendering</t>
  </si>
  <si>
    <t>3D images are not generated correctly</t>
  </si>
  <si>
    <t>3D image-based analysis is not possible</t>
  </si>
  <si>
    <t>Optimization of 3D rendering and application of parallel processing technology</t>
  </si>
  <si>
    <t>SRM-013</t>
  </si>
  <si>
    <t>Angio Image Transmission Risk</t>
  </si>
  <si>
    <t>Angio Image Data Transmission Failure</t>
  </si>
  <si>
    <t>Patient data is not transmitted to the OCT device</t>
  </si>
  <si>
    <t>Failure to acquire Angio Image data, resulting in storage without Angio Image data</t>
  </si>
  <si>
    <t>Exception handling to proceed without Angio Image data</t>
  </si>
  <si>
    <t>SRM-014</t>
  </si>
  <si>
    <t>Image Export Function Risk</t>
  </si>
  <si>
    <t>Export Process Error</t>
  </si>
  <si>
    <t>Unable to generate an image for export</t>
  </si>
  <si>
    <t>Analysis results cannot be shared</t>
  </si>
  <si>
    <t>Enhancement of image generation algorithm and export process</t>
  </si>
  <si>
    <t>SRM-015</t>
  </si>
  <si>
    <t>Data Security Risk</t>
  </si>
  <si>
    <t>Error in Data Extraction Encryption Processing</t>
  </si>
  <si>
    <t>Important information is not encrypted</t>
  </si>
  <si>
    <t>Potential leakage of patient information, causing legal and regulatory compliance issues</t>
  </si>
  <si>
    <t>Application of encryption algorithms</t>
  </si>
  <si>
    <t>SRM-016</t>
  </si>
  <si>
    <t>System Logging Function Risk</t>
  </si>
  <si>
    <t>Failure to Store Logs for Access, Query, Creation, Modification, and Deletion</t>
  </si>
  <si>
    <t>Log data loss or failure to store logs</t>
  </si>
  <si>
    <t>Inability to track causes of security incidents, increasing system security vulnerabilities</t>
  </si>
  <si>
    <t>Enhanced stability of log storage</t>
  </si>
  <si>
    <t>SRM-017</t>
  </si>
  <si>
    <t>System Access Control Risk</t>
  </si>
  <si>
    <t>Unauthorized Users Can Access the System Without ID/PW</t>
  </si>
  <si>
    <t>Unauthorized access causes security threats</t>
  </si>
  <si>
    <t>Risk of patient data leakage and system manipulation increases</t>
  </si>
  <si>
    <t>Implementation of authentication methods and improvement of security policies</t>
  </si>
  <si>
    <t>SRM-018</t>
  </si>
  <si>
    <t>USB Communication Risk</t>
  </si>
  <si>
    <t>USB Recognition Failure or Connection Issues</t>
  </si>
  <si>
    <t>Data transmission is not possible</t>
  </si>
  <si>
    <t>Real-time data transmission failure causes work delays</t>
  </si>
  <si>
    <t>USB connection status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</si>
</sst>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00"/>
      <name val="Malgun Gothic"/>
      <family val="2"/>
      <charset val="129"/>
    </font>
    <font>
      <sz val="10"/>
      <color rgb="FF000000"/>
      <name val="Malgun Gothic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302846</xdr:colOff>
      <xdr:row>23</xdr:row>
      <xdr:rowOff>1589</xdr:rowOff>
    </xdr:from>
    <xdr:ext cx="4084257" cy="3758376"/>
    <xdr:pic>
      <xdr:nvPicPr>
        <xdr:cNvPr id="2" name="그림 1">
          <a:extLst>
            <a:ext uri="{FF2B5EF4-FFF2-40B4-BE49-F238E27FC236}">
              <a16:creationId xmlns:a16="http://schemas.microsoft.com/office/drawing/2014/main" id="{A42424F5-3BFB-442B-9ABC-6B683F965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846" y="7935914"/>
          <a:ext cx="4084257" cy="37583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0CE9D-CE6D-4693-A41B-914DC5B4B545}">
  <sheetPr>
    <pageSetUpPr fitToPage="1"/>
  </sheetPr>
  <dimension ref="A1:T21"/>
  <sheetViews>
    <sheetView showGridLines="0" tabSelected="1" topLeftCell="A6" zoomScaleNormal="100" zoomScaleSheetLayoutView="100" zoomScalePageLayoutView="70" workbookViewId="0">
      <selection activeCell="E7" sqref="E7"/>
    </sheetView>
  </sheetViews>
  <sheetFormatPr defaultColWidth="8.875" defaultRowHeight="13.5"/>
  <cols>
    <col min="1" max="1" width="8.125" style="2" bestFit="1" customWidth="1"/>
    <col min="2" max="5" width="35.625" style="4" customWidth="1"/>
    <col min="6" max="8" width="5.375" style="2" customWidth="1"/>
    <col min="9" max="9" width="6.875" style="3" customWidth="1"/>
    <col min="10" max="10" width="35.625" style="4" customWidth="1"/>
    <col min="11" max="11" width="10.875" style="2" customWidth="1"/>
    <col min="12" max="12" width="11" style="2" customWidth="1"/>
    <col min="13" max="15" width="5.375" style="2" customWidth="1"/>
    <col min="16" max="16" width="6.875" style="3" customWidth="1"/>
    <col min="17" max="17" width="7.5" style="2" customWidth="1"/>
    <col min="18" max="18" width="11.625" style="2" customWidth="1"/>
    <col min="19" max="19" width="12" style="2" customWidth="1"/>
    <col min="20" max="20" width="10.5" style="2" customWidth="1"/>
    <col min="21" max="16384" width="8.875" style="1"/>
  </cols>
  <sheetData>
    <row r="1" spans="1:20" s="2" customFormat="1" ht="17.45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/>
      <c r="H1" s="17"/>
      <c r="I1" s="17" t="s">
        <v>6</v>
      </c>
      <c r="J1" s="13" t="s">
        <v>7</v>
      </c>
      <c r="K1" s="13" t="s">
        <v>8</v>
      </c>
      <c r="L1" s="13" t="s">
        <v>9</v>
      </c>
      <c r="M1" s="18" t="s">
        <v>10</v>
      </c>
      <c r="N1" s="19"/>
      <c r="O1" s="20"/>
      <c r="P1" s="13" t="s">
        <v>6</v>
      </c>
      <c r="Q1" s="10" t="s">
        <v>11</v>
      </c>
      <c r="R1" s="13" t="s">
        <v>12</v>
      </c>
      <c r="S1" s="13" t="s">
        <v>13</v>
      </c>
      <c r="T1" s="10" t="s">
        <v>14</v>
      </c>
    </row>
    <row r="2" spans="1:20" s="2" customFormat="1">
      <c r="A2" s="17"/>
      <c r="B2" s="17"/>
      <c r="C2" s="17"/>
      <c r="D2" s="17"/>
      <c r="E2" s="17"/>
      <c r="F2" s="17"/>
      <c r="G2" s="17"/>
      <c r="H2" s="17"/>
      <c r="I2" s="17"/>
      <c r="J2" s="14"/>
      <c r="K2" s="14"/>
      <c r="L2" s="14"/>
      <c r="M2" s="21"/>
      <c r="N2" s="22"/>
      <c r="O2" s="23"/>
      <c r="P2" s="14"/>
      <c r="Q2" s="11"/>
      <c r="R2" s="14"/>
      <c r="S2" s="14"/>
      <c r="T2" s="11"/>
    </row>
    <row r="3" spans="1:20" s="2" customFormat="1" ht="27" customHeight="1">
      <c r="A3" s="17"/>
      <c r="B3" s="17"/>
      <c r="C3" s="17"/>
      <c r="D3" s="17"/>
      <c r="E3" s="17"/>
      <c r="F3" s="9" t="s">
        <v>15</v>
      </c>
      <c r="G3" s="9" t="s">
        <v>16</v>
      </c>
      <c r="H3" s="9" t="s">
        <v>17</v>
      </c>
      <c r="I3" s="17"/>
      <c r="J3" s="15"/>
      <c r="K3" s="15"/>
      <c r="L3" s="15"/>
      <c r="M3" s="9" t="s">
        <v>18</v>
      </c>
      <c r="N3" s="9" t="s">
        <v>19</v>
      </c>
      <c r="O3" s="9" t="s">
        <v>17</v>
      </c>
      <c r="P3" s="15"/>
      <c r="Q3" s="12"/>
      <c r="R3" s="15"/>
      <c r="S3" s="15"/>
      <c r="T3" s="12"/>
    </row>
    <row r="4" spans="1:20" ht="50.1" customHeight="1">
      <c r="A4" s="6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5">
        <v>4</v>
      </c>
      <c r="G4" s="5">
        <v>2</v>
      </c>
      <c r="H4" s="7">
        <f t="shared" ref="H4:H21" si="0">G4*F4</f>
        <v>8</v>
      </c>
      <c r="I4" s="5" t="s">
        <v>25</v>
      </c>
      <c r="J4" s="8" t="s">
        <v>26</v>
      </c>
      <c r="K4" s="6" t="s">
        <v>27</v>
      </c>
      <c r="L4" s="6" t="s">
        <v>27</v>
      </c>
      <c r="M4" s="5">
        <v>1</v>
      </c>
      <c r="N4" s="5">
        <v>2</v>
      </c>
      <c r="O4" s="7">
        <f t="shared" ref="O4:O21" si="1">N4*M4</f>
        <v>2</v>
      </c>
      <c r="P4" s="6" t="s">
        <v>28</v>
      </c>
      <c r="Q4" s="6" t="s">
        <v>27</v>
      </c>
      <c r="R4" s="6" t="s">
        <v>29</v>
      </c>
      <c r="S4" s="6" t="s">
        <v>28</v>
      </c>
      <c r="T4" s="16" t="s">
        <v>30</v>
      </c>
    </row>
    <row r="5" spans="1:20" ht="50.1" customHeight="1">
      <c r="A5" s="6" t="s">
        <v>31</v>
      </c>
      <c r="B5" s="8" t="s">
        <v>32</v>
      </c>
      <c r="C5" s="8" t="s">
        <v>33</v>
      </c>
      <c r="D5" s="8" t="s">
        <v>34</v>
      </c>
      <c r="E5" s="8" t="s">
        <v>35</v>
      </c>
      <c r="F5" s="5">
        <v>4</v>
      </c>
      <c r="G5" s="5">
        <v>2</v>
      </c>
      <c r="H5" s="7">
        <f t="shared" si="0"/>
        <v>8</v>
      </c>
      <c r="I5" s="5" t="s">
        <v>25</v>
      </c>
      <c r="J5" s="8" t="s">
        <v>36</v>
      </c>
      <c r="K5" s="6" t="s">
        <v>27</v>
      </c>
      <c r="L5" s="6" t="s">
        <v>27</v>
      </c>
      <c r="M5" s="5">
        <v>1</v>
      </c>
      <c r="N5" s="5">
        <v>2</v>
      </c>
      <c r="O5" s="7">
        <f t="shared" si="1"/>
        <v>2</v>
      </c>
      <c r="P5" s="6" t="s">
        <v>28</v>
      </c>
      <c r="Q5" s="6" t="s">
        <v>27</v>
      </c>
      <c r="R5" s="6" t="s">
        <v>29</v>
      </c>
      <c r="S5" s="6" t="s">
        <v>28</v>
      </c>
      <c r="T5" s="16"/>
    </row>
    <row r="6" spans="1:20" ht="50.1" customHeight="1">
      <c r="A6" s="6" t="s">
        <v>37</v>
      </c>
      <c r="B6" s="8" t="s">
        <v>38</v>
      </c>
      <c r="C6" s="8" t="s">
        <v>39</v>
      </c>
      <c r="D6" s="8" t="s">
        <v>40</v>
      </c>
      <c r="E6" s="8" t="s">
        <v>41</v>
      </c>
      <c r="F6" s="5">
        <v>5</v>
      </c>
      <c r="G6" s="5">
        <v>2</v>
      </c>
      <c r="H6" s="7">
        <f t="shared" si="0"/>
        <v>10</v>
      </c>
      <c r="I6" s="5" t="s">
        <v>42</v>
      </c>
      <c r="J6" s="8" t="s">
        <v>43</v>
      </c>
      <c r="K6" s="6" t="s">
        <v>27</v>
      </c>
      <c r="L6" s="6" t="s">
        <v>27</v>
      </c>
      <c r="M6" s="5">
        <v>2</v>
      </c>
      <c r="N6" s="5">
        <v>2</v>
      </c>
      <c r="O6" s="7">
        <f t="shared" si="1"/>
        <v>4</v>
      </c>
      <c r="P6" s="6" t="s">
        <v>28</v>
      </c>
      <c r="Q6" s="6" t="s">
        <v>27</v>
      </c>
      <c r="R6" s="6" t="s">
        <v>29</v>
      </c>
      <c r="S6" s="6" t="s">
        <v>28</v>
      </c>
      <c r="T6" s="16"/>
    </row>
    <row r="7" spans="1:20" ht="50.1" customHeight="1">
      <c r="A7" s="6" t="s">
        <v>44</v>
      </c>
      <c r="B7" s="8" t="s">
        <v>45</v>
      </c>
      <c r="C7" s="8" t="s">
        <v>46</v>
      </c>
      <c r="D7" s="8" t="s">
        <v>47</v>
      </c>
      <c r="E7" s="8" t="s">
        <v>41</v>
      </c>
      <c r="F7" s="5">
        <v>5</v>
      </c>
      <c r="G7" s="5">
        <v>2</v>
      </c>
      <c r="H7" s="7">
        <f t="shared" si="0"/>
        <v>10</v>
      </c>
      <c r="I7" s="5" t="s">
        <v>42</v>
      </c>
      <c r="J7" s="8" t="s">
        <v>48</v>
      </c>
      <c r="K7" s="6" t="s">
        <v>27</v>
      </c>
      <c r="L7" s="6" t="s">
        <v>27</v>
      </c>
      <c r="M7" s="5">
        <v>2</v>
      </c>
      <c r="N7" s="5">
        <v>2</v>
      </c>
      <c r="O7" s="7">
        <f t="shared" si="1"/>
        <v>4</v>
      </c>
      <c r="P7" s="6" t="s">
        <v>28</v>
      </c>
      <c r="Q7" s="6" t="s">
        <v>27</v>
      </c>
      <c r="R7" s="6" t="s">
        <v>29</v>
      </c>
      <c r="S7" s="6" t="s">
        <v>28</v>
      </c>
      <c r="T7" s="16"/>
    </row>
    <row r="8" spans="1:20" ht="50.1" customHeight="1">
      <c r="A8" s="6" t="s">
        <v>49</v>
      </c>
      <c r="B8" s="8" t="s">
        <v>50</v>
      </c>
      <c r="C8" s="8" t="s">
        <v>51</v>
      </c>
      <c r="D8" s="8" t="s">
        <v>52</v>
      </c>
      <c r="E8" s="8" t="s">
        <v>53</v>
      </c>
      <c r="F8" s="5">
        <v>5</v>
      </c>
      <c r="G8" s="5">
        <v>2</v>
      </c>
      <c r="H8" s="7">
        <f t="shared" si="0"/>
        <v>10</v>
      </c>
      <c r="I8" s="5" t="s">
        <v>42</v>
      </c>
      <c r="J8" s="8" t="s">
        <v>54</v>
      </c>
      <c r="K8" s="6" t="s">
        <v>27</v>
      </c>
      <c r="L8" s="6" t="s">
        <v>27</v>
      </c>
      <c r="M8" s="5">
        <v>1</v>
      </c>
      <c r="N8" s="5">
        <v>2</v>
      </c>
      <c r="O8" s="7">
        <f t="shared" si="1"/>
        <v>2</v>
      </c>
      <c r="P8" s="6" t="s">
        <v>28</v>
      </c>
      <c r="Q8" s="6" t="s">
        <v>27</v>
      </c>
      <c r="R8" s="6" t="s">
        <v>29</v>
      </c>
      <c r="S8" s="6" t="s">
        <v>28</v>
      </c>
      <c r="T8" s="16"/>
    </row>
    <row r="9" spans="1:20" ht="50.1" customHeight="1">
      <c r="A9" s="6" t="s">
        <v>55</v>
      </c>
      <c r="B9" s="8" t="s">
        <v>56</v>
      </c>
      <c r="C9" s="8" t="s">
        <v>57</v>
      </c>
      <c r="D9" s="8" t="s">
        <v>58</v>
      </c>
      <c r="E9" s="8" t="s">
        <v>59</v>
      </c>
      <c r="F9" s="5">
        <v>5</v>
      </c>
      <c r="G9" s="5">
        <v>2</v>
      </c>
      <c r="H9" s="7">
        <f t="shared" si="0"/>
        <v>10</v>
      </c>
      <c r="I9" s="5" t="s">
        <v>42</v>
      </c>
      <c r="J9" s="8" t="s">
        <v>60</v>
      </c>
      <c r="K9" s="6" t="s">
        <v>27</v>
      </c>
      <c r="L9" s="6" t="s">
        <v>27</v>
      </c>
      <c r="M9" s="5">
        <v>1</v>
      </c>
      <c r="N9" s="5">
        <v>2</v>
      </c>
      <c r="O9" s="7">
        <f t="shared" si="1"/>
        <v>2</v>
      </c>
      <c r="P9" s="6" t="s">
        <v>28</v>
      </c>
      <c r="Q9" s="6" t="s">
        <v>27</v>
      </c>
      <c r="R9" s="6" t="s">
        <v>29</v>
      </c>
      <c r="S9" s="6" t="s">
        <v>28</v>
      </c>
      <c r="T9" s="16"/>
    </row>
    <row r="10" spans="1:20" ht="50.1" customHeight="1">
      <c r="A10" s="6" t="s">
        <v>61</v>
      </c>
      <c r="B10" s="8" t="s">
        <v>62</v>
      </c>
      <c r="C10" s="8" t="s">
        <v>63</v>
      </c>
      <c r="D10" s="8" t="s">
        <v>64</v>
      </c>
      <c r="E10" s="8" t="s">
        <v>65</v>
      </c>
      <c r="F10" s="5">
        <v>5</v>
      </c>
      <c r="G10" s="5">
        <v>1</v>
      </c>
      <c r="H10" s="7">
        <f t="shared" si="0"/>
        <v>5</v>
      </c>
      <c r="I10" s="5" t="s">
        <v>25</v>
      </c>
      <c r="J10" s="8" t="s">
        <v>66</v>
      </c>
      <c r="K10" s="6" t="s">
        <v>27</v>
      </c>
      <c r="L10" s="6" t="s">
        <v>27</v>
      </c>
      <c r="M10" s="5">
        <v>1</v>
      </c>
      <c r="N10" s="5">
        <v>1</v>
      </c>
      <c r="O10" s="7">
        <f t="shared" si="1"/>
        <v>1</v>
      </c>
      <c r="P10" s="6" t="s">
        <v>28</v>
      </c>
      <c r="Q10" s="6" t="s">
        <v>27</v>
      </c>
      <c r="R10" s="6" t="s">
        <v>29</v>
      </c>
      <c r="S10" s="6" t="s">
        <v>28</v>
      </c>
      <c r="T10" s="16"/>
    </row>
    <row r="11" spans="1:20" ht="50.1" customHeight="1">
      <c r="A11" s="6" t="s">
        <v>67</v>
      </c>
      <c r="B11" s="8" t="s">
        <v>68</v>
      </c>
      <c r="C11" s="8" t="s">
        <v>69</v>
      </c>
      <c r="D11" s="8" t="s">
        <v>70</v>
      </c>
      <c r="E11" s="8" t="s">
        <v>71</v>
      </c>
      <c r="F11" s="5">
        <v>4</v>
      </c>
      <c r="G11" s="5">
        <v>2</v>
      </c>
      <c r="H11" s="7">
        <f t="shared" si="0"/>
        <v>8</v>
      </c>
      <c r="I11" s="5" t="s">
        <v>25</v>
      </c>
      <c r="J11" s="8" t="s">
        <v>72</v>
      </c>
      <c r="K11" s="6" t="s">
        <v>27</v>
      </c>
      <c r="L11" s="6" t="s">
        <v>27</v>
      </c>
      <c r="M11" s="5">
        <v>1</v>
      </c>
      <c r="N11" s="5">
        <v>2</v>
      </c>
      <c r="O11" s="7">
        <f t="shared" si="1"/>
        <v>2</v>
      </c>
      <c r="P11" s="6" t="s">
        <v>28</v>
      </c>
      <c r="Q11" s="6" t="s">
        <v>27</v>
      </c>
      <c r="R11" s="6" t="s">
        <v>29</v>
      </c>
      <c r="S11" s="6" t="s">
        <v>28</v>
      </c>
      <c r="T11" s="16"/>
    </row>
    <row r="12" spans="1:20" ht="50.1" customHeight="1">
      <c r="A12" s="6" t="s">
        <v>73</v>
      </c>
      <c r="B12" s="8" t="s">
        <v>74</v>
      </c>
      <c r="C12" s="8" t="s">
        <v>75</v>
      </c>
      <c r="D12" s="8" t="s">
        <v>76</v>
      </c>
      <c r="E12" s="8" t="s">
        <v>77</v>
      </c>
      <c r="F12" s="5">
        <v>4</v>
      </c>
      <c r="G12" s="5">
        <v>2</v>
      </c>
      <c r="H12" s="7">
        <f t="shared" si="0"/>
        <v>8</v>
      </c>
      <c r="I12" s="5" t="s">
        <v>25</v>
      </c>
      <c r="J12" s="8" t="s">
        <v>78</v>
      </c>
      <c r="K12" s="6" t="s">
        <v>27</v>
      </c>
      <c r="L12" s="6" t="s">
        <v>27</v>
      </c>
      <c r="M12" s="5">
        <v>1</v>
      </c>
      <c r="N12" s="5">
        <v>2</v>
      </c>
      <c r="O12" s="7">
        <f t="shared" si="1"/>
        <v>2</v>
      </c>
      <c r="P12" s="6" t="s">
        <v>28</v>
      </c>
      <c r="Q12" s="6" t="s">
        <v>27</v>
      </c>
      <c r="R12" s="6" t="s">
        <v>29</v>
      </c>
      <c r="S12" s="6" t="s">
        <v>28</v>
      </c>
      <c r="T12" s="16"/>
    </row>
    <row r="13" spans="1:20" ht="50.1" customHeight="1">
      <c r="A13" s="6" t="s">
        <v>79</v>
      </c>
      <c r="B13" s="8" t="s">
        <v>80</v>
      </c>
      <c r="C13" s="8" t="s">
        <v>81</v>
      </c>
      <c r="D13" s="8" t="s">
        <v>82</v>
      </c>
      <c r="E13" s="8" t="s">
        <v>83</v>
      </c>
      <c r="F13" s="5">
        <v>4</v>
      </c>
      <c r="G13" s="5">
        <v>2</v>
      </c>
      <c r="H13" s="7">
        <f t="shared" si="0"/>
        <v>8</v>
      </c>
      <c r="I13" s="5" t="s">
        <v>25</v>
      </c>
      <c r="J13" s="8" t="s">
        <v>84</v>
      </c>
      <c r="K13" s="6" t="s">
        <v>27</v>
      </c>
      <c r="L13" s="6" t="s">
        <v>27</v>
      </c>
      <c r="M13" s="5">
        <v>1</v>
      </c>
      <c r="N13" s="5">
        <v>2</v>
      </c>
      <c r="O13" s="7">
        <f t="shared" si="1"/>
        <v>2</v>
      </c>
      <c r="P13" s="6" t="s">
        <v>28</v>
      </c>
      <c r="Q13" s="6" t="s">
        <v>27</v>
      </c>
      <c r="R13" s="6" t="s">
        <v>29</v>
      </c>
      <c r="S13" s="6" t="s">
        <v>28</v>
      </c>
      <c r="T13" s="16"/>
    </row>
    <row r="14" spans="1:20" ht="50.1" customHeight="1">
      <c r="A14" s="6" t="s">
        <v>85</v>
      </c>
      <c r="B14" s="8" t="s">
        <v>86</v>
      </c>
      <c r="C14" s="8" t="s">
        <v>87</v>
      </c>
      <c r="D14" s="8" t="s">
        <v>88</v>
      </c>
      <c r="E14" s="8" t="s">
        <v>89</v>
      </c>
      <c r="F14" s="5">
        <v>5</v>
      </c>
      <c r="G14" s="5">
        <v>1</v>
      </c>
      <c r="H14" s="7">
        <f t="shared" si="0"/>
        <v>5</v>
      </c>
      <c r="I14" s="5" t="s">
        <v>25</v>
      </c>
      <c r="J14" s="8" t="s">
        <v>90</v>
      </c>
      <c r="K14" s="6" t="s">
        <v>27</v>
      </c>
      <c r="L14" s="6" t="s">
        <v>27</v>
      </c>
      <c r="M14" s="5">
        <v>2</v>
      </c>
      <c r="N14" s="5">
        <v>1</v>
      </c>
      <c r="O14" s="7">
        <f t="shared" si="1"/>
        <v>2</v>
      </c>
      <c r="P14" s="6" t="s">
        <v>28</v>
      </c>
      <c r="Q14" s="6" t="s">
        <v>27</v>
      </c>
      <c r="R14" s="6" t="s">
        <v>29</v>
      </c>
      <c r="S14" s="6" t="s">
        <v>28</v>
      </c>
      <c r="T14" s="16"/>
    </row>
    <row r="15" spans="1:20" ht="50.1" customHeight="1">
      <c r="A15" s="6" t="s">
        <v>91</v>
      </c>
      <c r="B15" s="8" t="s">
        <v>92</v>
      </c>
      <c r="C15" s="8" t="s">
        <v>93</v>
      </c>
      <c r="D15" s="8" t="s">
        <v>94</v>
      </c>
      <c r="E15" s="8" t="s">
        <v>95</v>
      </c>
      <c r="F15" s="5">
        <v>5</v>
      </c>
      <c r="G15" s="5">
        <v>1</v>
      </c>
      <c r="H15" s="7">
        <f t="shared" si="0"/>
        <v>5</v>
      </c>
      <c r="I15" s="5" t="s">
        <v>25</v>
      </c>
      <c r="J15" s="8" t="s">
        <v>96</v>
      </c>
      <c r="K15" s="6" t="s">
        <v>27</v>
      </c>
      <c r="L15" s="6" t="s">
        <v>27</v>
      </c>
      <c r="M15" s="5">
        <v>1</v>
      </c>
      <c r="N15" s="5">
        <v>1</v>
      </c>
      <c r="O15" s="7">
        <f t="shared" si="1"/>
        <v>1</v>
      </c>
      <c r="P15" s="6" t="s">
        <v>28</v>
      </c>
      <c r="Q15" s="6" t="s">
        <v>27</v>
      </c>
      <c r="R15" s="6" t="s">
        <v>29</v>
      </c>
      <c r="S15" s="6" t="s">
        <v>28</v>
      </c>
      <c r="T15" s="16"/>
    </row>
    <row r="16" spans="1:20" ht="50.1" customHeight="1">
      <c r="A16" s="6" t="s">
        <v>97</v>
      </c>
      <c r="B16" s="8" t="s">
        <v>98</v>
      </c>
      <c r="C16" s="8" t="s">
        <v>99</v>
      </c>
      <c r="D16" s="8" t="s">
        <v>100</v>
      </c>
      <c r="E16" s="8" t="s">
        <v>101</v>
      </c>
      <c r="F16" s="5">
        <v>5</v>
      </c>
      <c r="G16" s="5">
        <v>1</v>
      </c>
      <c r="H16" s="7">
        <f t="shared" si="0"/>
        <v>5</v>
      </c>
      <c r="I16" s="5" t="s">
        <v>25</v>
      </c>
      <c r="J16" s="8" t="s">
        <v>102</v>
      </c>
      <c r="K16" s="6" t="s">
        <v>27</v>
      </c>
      <c r="L16" s="6" t="s">
        <v>27</v>
      </c>
      <c r="M16" s="5">
        <v>1</v>
      </c>
      <c r="N16" s="5">
        <v>1</v>
      </c>
      <c r="O16" s="7">
        <f t="shared" si="1"/>
        <v>1</v>
      </c>
      <c r="P16" s="6" t="s">
        <v>28</v>
      </c>
      <c r="Q16" s="6" t="s">
        <v>27</v>
      </c>
      <c r="R16" s="6" t="s">
        <v>29</v>
      </c>
      <c r="S16" s="6" t="s">
        <v>28</v>
      </c>
      <c r="T16" s="16"/>
    </row>
    <row r="17" spans="1:20" ht="50.1" customHeight="1">
      <c r="A17" s="6" t="s">
        <v>103</v>
      </c>
      <c r="B17" s="8" t="s">
        <v>104</v>
      </c>
      <c r="C17" s="8" t="s">
        <v>105</v>
      </c>
      <c r="D17" s="8" t="s">
        <v>106</v>
      </c>
      <c r="E17" s="8" t="s">
        <v>107</v>
      </c>
      <c r="F17" s="5">
        <v>5</v>
      </c>
      <c r="G17" s="5">
        <v>1</v>
      </c>
      <c r="H17" s="7">
        <f t="shared" si="0"/>
        <v>5</v>
      </c>
      <c r="I17" s="5" t="s">
        <v>25</v>
      </c>
      <c r="J17" s="8" t="s">
        <v>108</v>
      </c>
      <c r="K17" s="6" t="s">
        <v>27</v>
      </c>
      <c r="L17" s="6" t="s">
        <v>27</v>
      </c>
      <c r="M17" s="5">
        <v>1</v>
      </c>
      <c r="N17" s="5">
        <v>1</v>
      </c>
      <c r="O17" s="7">
        <f t="shared" si="1"/>
        <v>1</v>
      </c>
      <c r="P17" s="6" t="s">
        <v>28</v>
      </c>
      <c r="Q17" s="6" t="s">
        <v>27</v>
      </c>
      <c r="R17" s="6" t="s">
        <v>29</v>
      </c>
      <c r="S17" s="6" t="s">
        <v>28</v>
      </c>
      <c r="T17" s="16"/>
    </row>
    <row r="18" spans="1:20" ht="50.1" customHeight="1">
      <c r="A18" s="6" t="s">
        <v>109</v>
      </c>
      <c r="B18" s="8" t="s">
        <v>110</v>
      </c>
      <c r="C18" s="8" t="s">
        <v>111</v>
      </c>
      <c r="D18" s="8" t="s">
        <v>112</v>
      </c>
      <c r="E18" s="8" t="s">
        <v>113</v>
      </c>
      <c r="F18" s="5">
        <v>5</v>
      </c>
      <c r="G18" s="5">
        <v>1</v>
      </c>
      <c r="H18" s="7">
        <f t="shared" si="0"/>
        <v>5</v>
      </c>
      <c r="I18" s="5" t="s">
        <v>25</v>
      </c>
      <c r="J18" s="8" t="s">
        <v>114</v>
      </c>
      <c r="K18" s="6" t="s">
        <v>27</v>
      </c>
      <c r="L18" s="6" t="s">
        <v>27</v>
      </c>
      <c r="M18" s="5">
        <v>1</v>
      </c>
      <c r="N18" s="5">
        <v>1</v>
      </c>
      <c r="O18" s="7">
        <f t="shared" si="1"/>
        <v>1</v>
      </c>
      <c r="P18" s="6" t="s">
        <v>28</v>
      </c>
      <c r="Q18" s="6" t="s">
        <v>27</v>
      </c>
      <c r="R18" s="6" t="s">
        <v>29</v>
      </c>
      <c r="S18" s="6" t="s">
        <v>28</v>
      </c>
      <c r="T18" s="16"/>
    </row>
    <row r="19" spans="1:20" ht="50.1" customHeight="1">
      <c r="A19" s="6" t="s">
        <v>115</v>
      </c>
      <c r="B19" s="8" t="s">
        <v>116</v>
      </c>
      <c r="C19" s="8" t="s">
        <v>117</v>
      </c>
      <c r="D19" s="8" t="s">
        <v>118</v>
      </c>
      <c r="E19" s="8" t="s">
        <v>119</v>
      </c>
      <c r="F19" s="5">
        <v>5</v>
      </c>
      <c r="G19" s="5">
        <v>1</v>
      </c>
      <c r="H19" s="7">
        <f t="shared" si="0"/>
        <v>5</v>
      </c>
      <c r="I19" s="5" t="s">
        <v>25</v>
      </c>
      <c r="J19" s="8" t="s">
        <v>120</v>
      </c>
      <c r="K19" s="6" t="s">
        <v>27</v>
      </c>
      <c r="L19" s="6" t="s">
        <v>27</v>
      </c>
      <c r="M19" s="5">
        <v>1</v>
      </c>
      <c r="N19" s="5">
        <v>1</v>
      </c>
      <c r="O19" s="7">
        <f t="shared" si="1"/>
        <v>1</v>
      </c>
      <c r="P19" s="6" t="s">
        <v>28</v>
      </c>
      <c r="Q19" s="6" t="s">
        <v>27</v>
      </c>
      <c r="R19" s="6" t="s">
        <v>29</v>
      </c>
      <c r="S19" s="6" t="s">
        <v>28</v>
      </c>
      <c r="T19" s="16"/>
    </row>
    <row r="20" spans="1:20" ht="50.1" customHeight="1">
      <c r="A20" s="6" t="s">
        <v>121</v>
      </c>
      <c r="B20" s="8" t="s">
        <v>122</v>
      </c>
      <c r="C20" s="8" t="s">
        <v>123</v>
      </c>
      <c r="D20" s="8" t="s">
        <v>124</v>
      </c>
      <c r="E20" s="8" t="s">
        <v>125</v>
      </c>
      <c r="F20" s="5">
        <v>5</v>
      </c>
      <c r="G20" s="5">
        <v>1</v>
      </c>
      <c r="H20" s="7">
        <f t="shared" si="0"/>
        <v>5</v>
      </c>
      <c r="I20" s="5" t="s">
        <v>25</v>
      </c>
      <c r="J20" s="8" t="s">
        <v>126</v>
      </c>
      <c r="K20" s="6" t="s">
        <v>27</v>
      </c>
      <c r="L20" s="6" t="s">
        <v>27</v>
      </c>
      <c r="M20" s="5">
        <v>1</v>
      </c>
      <c r="N20" s="5">
        <v>1</v>
      </c>
      <c r="O20" s="7">
        <f t="shared" si="1"/>
        <v>1</v>
      </c>
      <c r="P20" s="6" t="s">
        <v>28</v>
      </c>
      <c r="Q20" s="6" t="s">
        <v>27</v>
      </c>
      <c r="R20" s="6" t="s">
        <v>29</v>
      </c>
      <c r="S20" s="6" t="s">
        <v>28</v>
      </c>
      <c r="T20" s="16"/>
    </row>
    <row r="21" spans="1:20" ht="50.1" customHeight="1">
      <c r="A21" s="6" t="s">
        <v>127</v>
      </c>
      <c r="B21" s="8" t="s">
        <v>128</v>
      </c>
      <c r="C21" s="8" t="s">
        <v>129</v>
      </c>
      <c r="D21" s="8" t="s">
        <v>130</v>
      </c>
      <c r="E21" s="8" t="s">
        <v>131</v>
      </c>
      <c r="F21" s="5">
        <v>5</v>
      </c>
      <c r="G21" s="5">
        <v>1</v>
      </c>
      <c r="H21" s="7">
        <f t="shared" si="0"/>
        <v>5</v>
      </c>
      <c r="I21" s="5" t="s">
        <v>25</v>
      </c>
      <c r="J21" s="8" t="s">
        <v>132</v>
      </c>
      <c r="K21" s="6" t="s">
        <v>27</v>
      </c>
      <c r="L21" s="6" t="s">
        <v>27</v>
      </c>
      <c r="M21" s="5">
        <v>1</v>
      </c>
      <c r="N21" s="5">
        <v>1</v>
      </c>
      <c r="O21" s="7">
        <f t="shared" si="1"/>
        <v>1</v>
      </c>
      <c r="P21" s="6" t="s">
        <v>28</v>
      </c>
      <c r="Q21" s="6" t="s">
        <v>27</v>
      </c>
      <c r="R21" s="6" t="s">
        <v>29</v>
      </c>
      <c r="S21" s="6" t="s">
        <v>28</v>
      </c>
      <c r="T21" s="16"/>
    </row>
  </sheetData>
  <mergeCells count="17">
    <mergeCell ref="F1:H2"/>
    <mergeCell ref="I1:I3"/>
    <mergeCell ref="J1:J3"/>
    <mergeCell ref="T1:T3"/>
    <mergeCell ref="K1:K3"/>
    <mergeCell ref="L1:L3"/>
    <mergeCell ref="M1:O2"/>
    <mergeCell ref="A1:A3"/>
    <mergeCell ref="B1:B3"/>
    <mergeCell ref="C1:C3"/>
    <mergeCell ref="D1:D3"/>
    <mergeCell ref="E1:E3"/>
    <mergeCell ref="Q1:Q3"/>
    <mergeCell ref="R1:R3"/>
    <mergeCell ref="S1:S3"/>
    <mergeCell ref="T4:T21"/>
    <mergeCell ref="P1:P3"/>
  </mergeCells>
  <phoneticPr fontId="2" type="noConversion"/>
  <pageMargins left="0.25" right="0.25" top="0.75" bottom="0.75" header="0.3" footer="0.3"/>
  <pageSetup paperSize="8" scale="84" fitToHeight="10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5643D1FCDD1AF449E52FCC5650E658B" ma:contentTypeVersion="14" ma:contentTypeDescription="새 문서를 만듭니다." ma:contentTypeScope="" ma:versionID="647bdb025269980e27106cc2d7c93b4b">
  <xsd:schema xmlns:xsd="http://www.w3.org/2001/XMLSchema" xmlns:xs="http://www.w3.org/2001/XMLSchema" xmlns:p="http://schemas.microsoft.com/office/2006/metadata/properties" xmlns:ns2="e9585e3e-8dde-4558-9020-300460070f66" xmlns:ns3="fdbd0ee6-c1ce-4682-bf4d-b990274ef7f9" targetNamespace="http://schemas.microsoft.com/office/2006/metadata/properties" ma:root="true" ma:fieldsID="d9d8955b532099d955db877a9cb0cef3" ns2:_="" ns3:_="">
    <xsd:import namespace="e9585e3e-8dde-4558-9020-300460070f66"/>
    <xsd:import namespace="fdbd0ee6-c1ce-4682-bf4d-b990274ef7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585e3e-8dde-4558-9020-300460070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d4bf5961-1a69-4e2b-ae0a-795ed03eca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0ee6-c1ce-4682-bf4d-b990274ef7f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9771737-58b8-4dde-883d-89777f4f420e}" ma:internalName="TaxCatchAll" ma:showField="CatchAllData" ma:web="fdbd0ee6-c1ce-4682-bf4d-b990274e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585e3e-8dde-4558-9020-300460070f66">
      <Terms xmlns="http://schemas.microsoft.com/office/infopath/2007/PartnerControls"/>
    </lcf76f155ced4ddcb4097134ff3c332f>
    <TaxCatchAll xmlns="fdbd0ee6-c1ce-4682-bf4d-b990274ef7f9" xsi:nil="true"/>
  </documentManagement>
</p:properties>
</file>

<file path=customXml/itemProps1.xml><?xml version="1.0" encoding="utf-8"?>
<ds:datastoreItem xmlns:ds="http://schemas.openxmlformats.org/officeDocument/2006/customXml" ds:itemID="{992496A7-15E5-42A4-96EF-48A51A0DF66D}"/>
</file>

<file path=customXml/itemProps2.xml><?xml version="1.0" encoding="utf-8"?>
<ds:datastoreItem xmlns:ds="http://schemas.openxmlformats.org/officeDocument/2006/customXml" ds:itemID="{9A844E66-15B2-4102-AF08-D6555B1C2778}"/>
</file>

<file path=customXml/itemProps3.xml><?xml version="1.0" encoding="utf-8"?>
<ds:datastoreItem xmlns:ds="http://schemas.openxmlformats.org/officeDocument/2006/customXml" ds:itemID="{77717764-D178-4F2A-AA1B-391738E759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김태성</dc:creator>
  <cp:keywords/>
  <dc:description/>
  <cp:lastModifiedBy>김태성</cp:lastModifiedBy>
  <cp:revision/>
  <dcterms:created xsi:type="dcterms:W3CDTF">2025-02-21T11:05:04Z</dcterms:created>
  <dcterms:modified xsi:type="dcterms:W3CDTF">2025-04-16T01:42:14Z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0x01010055643D1FCDD1AF449E52FCC5650E658B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MediaServiceImageTags">
    <vt:lpwstr/>
  </property>
</Properties>
</file>